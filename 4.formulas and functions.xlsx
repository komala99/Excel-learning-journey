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37" documentId="11_0B1D56BE9CDCCE836B02CE7A5FB0D4A9BBFD1C62" xr6:coauthVersionLast="47" xr6:coauthVersionMax="47" xr10:uidLastSave="{8C204D93-AD1E-40DD-976C-6F661FEC324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0" i="1"/>
  <c r="N8" i="1"/>
  <c r="N9" i="1"/>
  <c r="N10" i="1"/>
  <c r="N11" i="1"/>
  <c r="N12" i="1"/>
  <c r="N13" i="1"/>
  <c r="N14" i="1"/>
  <c r="N7" i="1"/>
  <c r="M8" i="1"/>
  <c r="M9" i="1"/>
  <c r="M10" i="1"/>
  <c r="M11" i="1"/>
  <c r="M12" i="1"/>
  <c r="M13" i="1"/>
  <c r="M14" i="1"/>
  <c r="M7" i="1"/>
  <c r="L8" i="1"/>
  <c r="L9" i="1"/>
  <c r="L10" i="1"/>
  <c r="L11" i="1"/>
  <c r="L12" i="1"/>
  <c r="L13" i="1"/>
  <c r="L14" i="1"/>
  <c r="L7" i="1"/>
  <c r="K8" i="1"/>
  <c r="K9" i="1"/>
  <c r="K10" i="1"/>
  <c r="K11" i="1"/>
  <c r="K12" i="1"/>
  <c r="K13" i="1"/>
  <c r="K14" i="1"/>
  <c r="K7" i="1"/>
  <c r="J8" i="1"/>
  <c r="J9" i="1"/>
  <c r="J10" i="1"/>
  <c r="J11" i="1"/>
  <c r="J12" i="1"/>
  <c r="J13" i="1"/>
  <c r="J14" i="1"/>
  <c r="J7" i="1"/>
  <c r="I8" i="1"/>
  <c r="I9" i="1"/>
  <c r="I10" i="1"/>
  <c r="I11" i="1"/>
  <c r="I12" i="1"/>
  <c r="I13" i="1"/>
  <c r="I14" i="1"/>
  <c r="I7" i="1"/>
  <c r="H8" i="1"/>
  <c r="H9" i="1"/>
  <c r="H10" i="1"/>
  <c r="H11" i="1"/>
  <c r="H12" i="1"/>
  <c r="H13" i="1"/>
  <c r="H14" i="1"/>
  <c r="H7" i="1"/>
  <c r="G8" i="1"/>
  <c r="G9" i="1"/>
  <c r="G10" i="1"/>
  <c r="G11" i="1"/>
  <c r="G12" i="1"/>
  <c r="G13" i="1"/>
  <c r="G14" i="1"/>
  <c r="G7" i="1"/>
</calcChain>
</file>

<file path=xl/sharedStrings.xml><?xml version="1.0" encoding="utf-8"?>
<sst xmlns="http://schemas.openxmlformats.org/spreadsheetml/2006/main" count="30" uniqueCount="27">
  <si>
    <t>formulas and functions</t>
  </si>
  <si>
    <t>Student</t>
  </si>
  <si>
    <t>Maths</t>
  </si>
  <si>
    <t>Science</t>
  </si>
  <si>
    <t>English</t>
  </si>
  <si>
    <t>sum</t>
  </si>
  <si>
    <t>min</t>
  </si>
  <si>
    <t>max</t>
  </si>
  <si>
    <t>avg</t>
  </si>
  <si>
    <t>count</t>
  </si>
  <si>
    <t>if</t>
  </si>
  <si>
    <t>counta</t>
  </si>
  <si>
    <t>and</t>
  </si>
  <si>
    <t>Kom</t>
  </si>
  <si>
    <t>Ravi</t>
  </si>
  <si>
    <t>Priya</t>
  </si>
  <si>
    <t>Arjun</t>
  </si>
  <si>
    <t>Meena</t>
  </si>
  <si>
    <t>Kiran</t>
  </si>
  <si>
    <t>Anu</t>
  </si>
  <si>
    <t>Rahul</t>
  </si>
  <si>
    <t>sumif</t>
  </si>
  <si>
    <t>Product</t>
  </si>
  <si>
    <t>Sales</t>
  </si>
  <si>
    <t>Pen</t>
  </si>
  <si>
    <t>Book</t>
  </si>
  <si>
    <t>Pencil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</si>
</sst>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24"/>
  <sheetViews>
    <sheetView tabSelected="1" topLeftCell="A15" workbookViewId="0">
      <selection activeCell="E20" sqref="E20:E24"/>
    </sheetView>
  </sheetViews>
  <sheetFormatPr defaultRowHeight="15"/>
  <cols>
    <col min="12" max="12" width="21.5703125" bestFit="1" customWidth="1"/>
  </cols>
  <sheetData>
    <row r="3" spans="3:14">
      <c r="C3" s="2" t="s">
        <v>0</v>
      </c>
      <c r="D3" s="2"/>
      <c r="E3" s="2"/>
      <c r="F3" s="2"/>
    </row>
    <row r="4" spans="3:14">
      <c r="C4" s="2"/>
      <c r="D4" s="2"/>
      <c r="E4" s="2"/>
      <c r="F4" s="2"/>
    </row>
    <row r="6" spans="3:14">
      <c r="C6" s="1" t="s">
        <v>1</v>
      </c>
      <c r="D6" s="1" t="s">
        <v>2</v>
      </c>
      <c r="E6" s="1" t="s">
        <v>3</v>
      </c>
      <c r="F6" s="1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</row>
    <row r="7" spans="3:14">
      <c r="C7" t="s">
        <v>13</v>
      </c>
      <c r="D7">
        <v>34</v>
      </c>
      <c r="E7">
        <v>90</v>
      </c>
      <c r="F7">
        <v>88</v>
      </c>
      <c r="G7">
        <f>SUM(D7:F7)</f>
        <v>212</v>
      </c>
      <c r="H7">
        <f>MIN(D7:F7)</f>
        <v>34</v>
      </c>
      <c r="I7">
        <f>MAX(D7:F7)</f>
        <v>90</v>
      </c>
      <c r="J7">
        <f>AVERAGE(D7:F7)</f>
        <v>70.666666666666671</v>
      </c>
      <c r="K7">
        <f>COUNT(D7:F7)</f>
        <v>3</v>
      </c>
      <c r="L7" t="str">
        <f>IF(D7&gt;50,"pass","fail")</f>
        <v>fail</v>
      </c>
      <c r="M7">
        <f>COUNTA(D7:F7)</f>
        <v>3</v>
      </c>
      <c r="N7" t="b">
        <f>AND(D7&gt;50,E7&gt;50,F7&gt;50)</f>
        <v>0</v>
      </c>
    </row>
    <row r="8" spans="3:14">
      <c r="C8" t="s">
        <v>14</v>
      </c>
      <c r="D8">
        <v>70</v>
      </c>
      <c r="E8">
        <v>75</v>
      </c>
      <c r="F8">
        <v>80</v>
      </c>
      <c r="G8">
        <f t="shared" ref="G8:G14" si="0">SUM(D8:F8)</f>
        <v>225</v>
      </c>
      <c r="H8">
        <f t="shared" ref="H8:H14" si="1">MIN(D8:F8)</f>
        <v>70</v>
      </c>
      <c r="I8">
        <f t="shared" ref="I8:I14" si="2">MAX(D8:F8)</f>
        <v>80</v>
      </c>
      <c r="J8">
        <f t="shared" ref="J8:J14" si="3">AVERAGE(D8:F8)</f>
        <v>75</v>
      </c>
      <c r="K8">
        <f t="shared" ref="K8:K14" si="4">COUNT(D8:F8)</f>
        <v>3</v>
      </c>
      <c r="L8" t="str">
        <f t="shared" ref="L8:L14" si="5">IF(D8&gt;50,"pass","fail")</f>
        <v>pass</v>
      </c>
      <c r="M8">
        <f t="shared" ref="M8:M14" si="6">COUNTA(D8:F8)</f>
        <v>3</v>
      </c>
      <c r="N8" t="b">
        <f t="shared" ref="N8:N14" si="7">AND(D8&gt;50,E8&gt;50,F8&gt;50)</f>
        <v>1</v>
      </c>
    </row>
    <row r="9" spans="3:14">
      <c r="C9" t="s">
        <v>15</v>
      </c>
      <c r="D9">
        <v>95</v>
      </c>
      <c r="E9">
        <v>85</v>
      </c>
      <c r="F9">
        <v>90</v>
      </c>
      <c r="G9">
        <f t="shared" si="0"/>
        <v>270</v>
      </c>
      <c r="H9">
        <f t="shared" si="1"/>
        <v>85</v>
      </c>
      <c r="I9">
        <f t="shared" si="2"/>
        <v>95</v>
      </c>
      <c r="J9">
        <f t="shared" si="3"/>
        <v>90</v>
      </c>
      <c r="K9">
        <f t="shared" si="4"/>
        <v>3</v>
      </c>
      <c r="L9" t="str">
        <f t="shared" si="5"/>
        <v>pass</v>
      </c>
      <c r="M9">
        <f t="shared" si="6"/>
        <v>3</v>
      </c>
      <c r="N9" t="b">
        <f t="shared" si="7"/>
        <v>1</v>
      </c>
    </row>
    <row r="10" spans="3:14">
      <c r="C10" t="s">
        <v>16</v>
      </c>
      <c r="D10">
        <v>60</v>
      </c>
      <c r="E10">
        <v>70</v>
      </c>
      <c r="F10">
        <v>65</v>
      </c>
      <c r="G10">
        <f t="shared" si="0"/>
        <v>195</v>
      </c>
      <c r="H10">
        <f t="shared" si="1"/>
        <v>60</v>
      </c>
      <c r="I10">
        <f t="shared" si="2"/>
        <v>70</v>
      </c>
      <c r="J10">
        <f t="shared" si="3"/>
        <v>65</v>
      </c>
      <c r="K10">
        <f t="shared" si="4"/>
        <v>3</v>
      </c>
      <c r="L10" t="str">
        <f t="shared" si="5"/>
        <v>pass</v>
      </c>
      <c r="M10">
        <f t="shared" si="6"/>
        <v>3</v>
      </c>
      <c r="N10" t="b">
        <f t="shared" si="7"/>
        <v>1</v>
      </c>
    </row>
    <row r="11" spans="3:14">
      <c r="C11" t="s">
        <v>17</v>
      </c>
      <c r="D11">
        <v>88</v>
      </c>
      <c r="E11">
        <v>92</v>
      </c>
      <c r="F11">
        <v>86</v>
      </c>
      <c r="G11">
        <f t="shared" si="0"/>
        <v>266</v>
      </c>
      <c r="H11">
        <f t="shared" si="1"/>
        <v>86</v>
      </c>
      <c r="I11">
        <f t="shared" si="2"/>
        <v>92</v>
      </c>
      <c r="J11">
        <f t="shared" si="3"/>
        <v>88.666666666666671</v>
      </c>
      <c r="K11">
        <f t="shared" si="4"/>
        <v>3</v>
      </c>
      <c r="L11" t="str">
        <f t="shared" si="5"/>
        <v>pass</v>
      </c>
      <c r="M11">
        <f t="shared" si="6"/>
        <v>3</v>
      </c>
      <c r="N11" t="b">
        <f t="shared" si="7"/>
        <v>1</v>
      </c>
    </row>
    <row r="12" spans="3:14">
      <c r="C12" t="s">
        <v>18</v>
      </c>
      <c r="D12">
        <v>25</v>
      </c>
      <c r="E12">
        <v>40</v>
      </c>
      <c r="F12">
        <v>30</v>
      </c>
      <c r="G12">
        <f t="shared" si="0"/>
        <v>95</v>
      </c>
      <c r="H12">
        <f t="shared" si="1"/>
        <v>25</v>
      </c>
      <c r="I12">
        <f t="shared" si="2"/>
        <v>40</v>
      </c>
      <c r="J12">
        <f t="shared" si="3"/>
        <v>31.666666666666668</v>
      </c>
      <c r="K12">
        <f t="shared" si="4"/>
        <v>3</v>
      </c>
      <c r="L12" t="str">
        <f t="shared" si="5"/>
        <v>fail</v>
      </c>
      <c r="M12">
        <f t="shared" si="6"/>
        <v>3</v>
      </c>
      <c r="N12" t="b">
        <f t="shared" si="7"/>
        <v>0</v>
      </c>
    </row>
    <row r="13" spans="3:14">
      <c r="C13" t="s">
        <v>19</v>
      </c>
      <c r="D13">
        <v>100</v>
      </c>
      <c r="E13">
        <v>95</v>
      </c>
      <c r="F13">
        <v>98</v>
      </c>
      <c r="G13">
        <f t="shared" si="0"/>
        <v>293</v>
      </c>
      <c r="H13">
        <f t="shared" si="1"/>
        <v>95</v>
      </c>
      <c r="I13">
        <f t="shared" si="2"/>
        <v>100</v>
      </c>
      <c r="J13">
        <f t="shared" si="3"/>
        <v>97.666666666666671</v>
      </c>
      <c r="K13">
        <f t="shared" si="4"/>
        <v>3</v>
      </c>
      <c r="L13" t="str">
        <f t="shared" si="5"/>
        <v>pass</v>
      </c>
      <c r="M13">
        <f t="shared" si="6"/>
        <v>3</v>
      </c>
      <c r="N13" t="b">
        <f t="shared" si="7"/>
        <v>1</v>
      </c>
    </row>
    <row r="14" spans="3:14">
      <c r="C14" t="s">
        <v>20</v>
      </c>
      <c r="D14">
        <v>45</v>
      </c>
      <c r="E14">
        <v>35</v>
      </c>
      <c r="F14">
        <v>50</v>
      </c>
      <c r="G14">
        <f t="shared" si="0"/>
        <v>130</v>
      </c>
      <c r="H14">
        <f t="shared" si="1"/>
        <v>35</v>
      </c>
      <c r="I14">
        <f t="shared" si="2"/>
        <v>50</v>
      </c>
      <c r="J14">
        <f t="shared" si="3"/>
        <v>43.333333333333336</v>
      </c>
      <c r="K14">
        <f t="shared" si="4"/>
        <v>3</v>
      </c>
      <c r="L14" t="str">
        <f t="shared" si="5"/>
        <v>fail</v>
      </c>
      <c r="M14">
        <f t="shared" si="6"/>
        <v>3</v>
      </c>
      <c r="N14" t="b">
        <f t="shared" si="7"/>
        <v>0</v>
      </c>
    </row>
    <row r="17" spans="3:5">
      <c r="C17" t="s">
        <v>21</v>
      </c>
    </row>
    <row r="19" spans="3:5">
      <c r="C19" s="1" t="s">
        <v>22</v>
      </c>
      <c r="D19" s="1" t="s">
        <v>23</v>
      </c>
      <c r="E19" t="s">
        <v>21</v>
      </c>
    </row>
    <row r="20" spans="3:5">
      <c r="C20" t="s">
        <v>24</v>
      </c>
      <c r="D20">
        <v>100</v>
      </c>
      <c r="E20">
        <f>SUMIF(C20:C24,"pen",D20:D24)</f>
        <v>550</v>
      </c>
    </row>
    <row r="21" spans="3:5">
      <c r="C21" t="s">
        <v>25</v>
      </c>
      <c r="D21">
        <v>200</v>
      </c>
      <c r="E21">
        <f t="shared" ref="E21:E24" si="8">SUMIF(C21:C25,"pen",D21:D25)</f>
        <v>450</v>
      </c>
    </row>
    <row r="22" spans="3:5">
      <c r="C22" t="s">
        <v>24</v>
      </c>
      <c r="D22">
        <v>300</v>
      </c>
      <c r="E22">
        <f t="shared" si="8"/>
        <v>450</v>
      </c>
    </row>
    <row r="23" spans="3:5">
      <c r="C23" t="s">
        <v>26</v>
      </c>
      <c r="D23">
        <v>50</v>
      </c>
      <c r="E23">
        <f t="shared" si="8"/>
        <v>150</v>
      </c>
    </row>
    <row r="24" spans="3:5">
      <c r="C24" t="s">
        <v>24</v>
      </c>
      <c r="D24">
        <v>150</v>
      </c>
      <c r="E24">
        <f t="shared" si="8"/>
        <v>150</v>
      </c>
    </row>
  </sheetData>
  <mergeCells count="1">
    <mergeCell ref="C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P</cp:lastModifiedBy>
  <cp:revision/>
  <dcterms:created xsi:type="dcterms:W3CDTF">2026-06-30T07:16:35Z</dcterms:created>
  <dcterms:modified xsi:type="dcterms:W3CDTF">2026-06-30T13:21:59Z</dcterms:modified>
  <cp:category/>
  <cp:contentStatus/>
</cp:coreProperties>
</file>