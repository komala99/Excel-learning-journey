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xr:revisionPtr revIDLastSave="56" documentId="11_0B1D56BE9CDCCE836B02CE7A5FB0D4A9BBFD1C62" xr6:coauthVersionLast="47" xr6:coauthVersionMax="47" xr10:uidLastSave="{3871F051-F9FD-4A4E-85CA-06961317357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7" i="1" l="1"/>
  <c r="F38" i="1"/>
  <c r="F39" i="1"/>
  <c r="F40" i="1"/>
  <c r="F36" i="1"/>
  <c r="E26" i="1"/>
  <c r="E27" i="1"/>
  <c r="E28" i="1"/>
  <c r="E29" i="1"/>
  <c r="E25" i="1"/>
  <c r="G16" i="1"/>
  <c r="G17" i="1"/>
  <c r="G18" i="1"/>
  <c r="G15" i="1"/>
  <c r="H7" i="1"/>
  <c r="H8" i="1"/>
  <c r="H9" i="1"/>
  <c r="H6" i="1"/>
  <c r="G9" i="1"/>
  <c r="G8" i="1"/>
  <c r="G7" i="1"/>
  <c r="G6" i="1"/>
</calcChain>
</file>

<file path=xl/sharedStrings.xml><?xml version="1.0" encoding="utf-8"?>
<sst xmlns="http://schemas.openxmlformats.org/spreadsheetml/2006/main" count="62" uniqueCount="27">
  <si>
    <t xml:space="preserve">lookup functions </t>
  </si>
  <si>
    <t>vlookup</t>
  </si>
  <si>
    <t>Student ID</t>
  </si>
  <si>
    <t>Name</t>
  </si>
  <si>
    <t>Department</t>
  </si>
  <si>
    <t>lookupvalue</t>
  </si>
  <si>
    <t>Kom</t>
  </si>
  <si>
    <t>CSE</t>
  </si>
  <si>
    <t>Ravi</t>
  </si>
  <si>
    <t>ECE</t>
  </si>
  <si>
    <t>Priya</t>
  </si>
  <si>
    <t>AIML</t>
  </si>
  <si>
    <t>Arjun</t>
  </si>
  <si>
    <t>xlookup</t>
  </si>
  <si>
    <t>A</t>
  </si>
  <si>
    <t>B</t>
  </si>
  <si>
    <t>C</t>
  </si>
  <si>
    <t>count if</t>
  </si>
  <si>
    <t>Student</t>
  </si>
  <si>
    <t>Result</t>
  </si>
  <si>
    <t>countif</t>
  </si>
  <si>
    <t>Pass</t>
  </si>
  <si>
    <t>Fail</t>
  </si>
  <si>
    <t>Meena</t>
  </si>
  <si>
    <t>averageif</t>
  </si>
  <si>
    <t>Marks</t>
  </si>
  <si>
    <t>avgif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</si>
</sst>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40"/>
  <sheetViews>
    <sheetView tabSelected="1" topLeftCell="A26" workbookViewId="0">
      <selection activeCell="F36" sqref="F36:F40"/>
    </sheetView>
  </sheetViews>
  <sheetFormatPr defaultRowHeight="15"/>
  <cols>
    <col min="3" max="3" width="10.140625" bestFit="1" customWidth="1"/>
    <col min="4" max="4" width="11.5703125" bestFit="1" customWidth="1"/>
    <col min="5" max="5" width="18.85546875" bestFit="1" customWidth="1"/>
    <col min="6" max="6" width="11.28515625" bestFit="1" customWidth="1"/>
  </cols>
  <sheetData>
    <row r="1" spans="3:8">
      <c r="C1" s="2" t="s">
        <v>0</v>
      </c>
      <c r="D1" s="2"/>
      <c r="E1" s="2"/>
      <c r="F1" s="2"/>
      <c r="G1" s="2"/>
      <c r="H1" s="2"/>
    </row>
    <row r="2" spans="3:8">
      <c r="C2" s="2"/>
      <c r="D2" s="2"/>
      <c r="E2" s="2"/>
      <c r="F2" s="2"/>
      <c r="G2" s="2"/>
      <c r="H2" s="2"/>
    </row>
    <row r="3" spans="3:8">
      <c r="C3" s="2" t="s">
        <v>1</v>
      </c>
      <c r="D3" s="2"/>
      <c r="E3" s="2"/>
      <c r="F3" s="2"/>
    </row>
    <row r="4" spans="3:8">
      <c r="C4" s="1"/>
      <c r="D4" s="1"/>
      <c r="E4" s="1"/>
    </row>
    <row r="5" spans="3:8">
      <c r="C5" t="s">
        <v>2</v>
      </c>
      <c r="D5" t="s">
        <v>3</v>
      </c>
      <c r="E5" t="s">
        <v>4</v>
      </c>
      <c r="F5" t="s">
        <v>5</v>
      </c>
      <c r="G5" t="s">
        <v>1</v>
      </c>
      <c r="H5" t="s">
        <v>1</v>
      </c>
    </row>
    <row r="6" spans="3:8">
      <c r="C6">
        <v>101</v>
      </c>
      <c r="D6" t="s">
        <v>6</v>
      </c>
      <c r="E6" t="s">
        <v>7</v>
      </c>
      <c r="F6">
        <v>101</v>
      </c>
      <c r="G6" t="str">
        <f>VLOOKUP(F6,C5:E9,2)</f>
        <v>Kom</v>
      </c>
      <c r="H6" t="str">
        <f>VLOOKUP(F6,$C$5:$E$9,2,FALSE)</f>
        <v>Kom</v>
      </c>
    </row>
    <row r="7" spans="3:8">
      <c r="C7">
        <v>102</v>
      </c>
      <c r="D7" t="s">
        <v>8</v>
      </c>
      <c r="E7" t="s">
        <v>9</v>
      </c>
      <c r="F7">
        <v>102</v>
      </c>
      <c r="G7" t="str">
        <f>VLOOKUP(F7,C5:E9,3)</f>
        <v>ECE</v>
      </c>
      <c r="H7" t="str">
        <f t="shared" ref="H7:H9" si="0">VLOOKUP(F7,$C$5:$E$9,2,FALSE)</f>
        <v>Ravi</v>
      </c>
    </row>
    <row r="8" spans="3:8">
      <c r="C8">
        <v>103</v>
      </c>
      <c r="D8" t="s">
        <v>10</v>
      </c>
      <c r="E8" t="s">
        <v>11</v>
      </c>
      <c r="F8">
        <v>103</v>
      </c>
      <c r="G8" t="str">
        <f>VLOOKUP(F8,C5:E9,2)</f>
        <v>Priya</v>
      </c>
      <c r="H8" t="str">
        <f t="shared" si="0"/>
        <v>Priya</v>
      </c>
    </row>
    <row r="9" spans="3:8">
      <c r="C9">
        <v>104</v>
      </c>
      <c r="D9" t="s">
        <v>12</v>
      </c>
      <c r="E9" t="s">
        <v>7</v>
      </c>
      <c r="F9">
        <v>104</v>
      </c>
      <c r="G9" t="str">
        <f>VLOOKUP(F9,C5:F9,3)</f>
        <v>CSE</v>
      </c>
      <c r="H9" t="str">
        <f t="shared" si="0"/>
        <v>Arjun</v>
      </c>
    </row>
    <row r="11" spans="3:8">
      <c r="C11" s="2" t="s">
        <v>13</v>
      </c>
      <c r="D11" s="2"/>
      <c r="E11" s="2"/>
      <c r="F11" s="2"/>
    </row>
    <row r="13" spans="3:8">
      <c r="C13" s="1" t="s">
        <v>14</v>
      </c>
      <c r="D13" s="1" t="s">
        <v>15</v>
      </c>
      <c r="E13" s="1" t="s">
        <v>16</v>
      </c>
    </row>
    <row r="14" spans="3:8">
      <c r="C14" s="1" t="s">
        <v>2</v>
      </c>
      <c r="D14" s="1" t="s">
        <v>3</v>
      </c>
      <c r="E14" s="1" t="s">
        <v>4</v>
      </c>
      <c r="F14" t="s">
        <v>5</v>
      </c>
      <c r="G14" t="s">
        <v>13</v>
      </c>
    </row>
    <row r="15" spans="3:8">
      <c r="C15">
        <v>101</v>
      </c>
      <c r="D15" t="s">
        <v>6</v>
      </c>
      <c r="E15" t="s">
        <v>7</v>
      </c>
      <c r="F15">
        <v>101</v>
      </c>
      <c r="G15" t="str">
        <f>_xlfn.XLOOKUP(F15,C14:C18,D14:D18)</f>
        <v>Kom</v>
      </c>
    </row>
    <row r="16" spans="3:8">
      <c r="C16">
        <v>102</v>
      </c>
      <c r="D16" t="s">
        <v>8</v>
      </c>
      <c r="E16" t="s">
        <v>9</v>
      </c>
      <c r="F16">
        <v>102</v>
      </c>
      <c r="G16" t="str">
        <f t="shared" ref="G16:G18" si="1">_xlfn.XLOOKUP(F16,C15:C19,D15:D19)</f>
        <v>Ravi</v>
      </c>
    </row>
    <row r="17" spans="3:7">
      <c r="C17">
        <v>103</v>
      </c>
      <c r="D17" t="s">
        <v>10</v>
      </c>
      <c r="E17" t="s">
        <v>11</v>
      </c>
      <c r="F17">
        <v>103</v>
      </c>
      <c r="G17" t="str">
        <f t="shared" si="1"/>
        <v>Priya</v>
      </c>
    </row>
    <row r="18" spans="3:7">
      <c r="C18">
        <v>104</v>
      </c>
      <c r="D18" t="s">
        <v>12</v>
      </c>
      <c r="E18" t="s">
        <v>7</v>
      </c>
      <c r="F18">
        <v>104</v>
      </c>
      <c r="G18" t="str">
        <f t="shared" si="1"/>
        <v>Arjun</v>
      </c>
    </row>
    <row r="21" spans="3:7">
      <c r="C21" s="2" t="s">
        <v>17</v>
      </c>
      <c r="D21" s="2"/>
      <c r="E21" s="2"/>
      <c r="F21" s="2"/>
    </row>
    <row r="22" spans="3:7">
      <c r="C22" s="2"/>
      <c r="D22" s="2"/>
      <c r="E22" s="2"/>
      <c r="F22" s="2"/>
    </row>
    <row r="24" spans="3:7">
      <c r="C24" s="1" t="s">
        <v>18</v>
      </c>
      <c r="D24" s="1" t="s">
        <v>19</v>
      </c>
      <c r="E24" t="s">
        <v>20</v>
      </c>
    </row>
    <row r="25" spans="3:7">
      <c r="C25" t="s">
        <v>6</v>
      </c>
      <c r="D25" t="s">
        <v>21</v>
      </c>
      <c r="E25">
        <f>COUNTIF(D24:D29,"pass")</f>
        <v>3</v>
      </c>
    </row>
    <row r="26" spans="3:7">
      <c r="C26" t="s">
        <v>8</v>
      </c>
      <c r="D26" t="s">
        <v>21</v>
      </c>
      <c r="E26">
        <f t="shared" ref="E26:E29" si="2">COUNTIF(D25:D30,"pass")</f>
        <v>3</v>
      </c>
    </row>
    <row r="27" spans="3:7">
      <c r="C27" t="s">
        <v>10</v>
      </c>
      <c r="D27" t="s">
        <v>22</v>
      </c>
      <c r="E27">
        <f t="shared" si="2"/>
        <v>2</v>
      </c>
    </row>
    <row r="28" spans="3:7">
      <c r="C28" t="s">
        <v>12</v>
      </c>
      <c r="D28" t="s">
        <v>21</v>
      </c>
      <c r="E28">
        <f t="shared" si="2"/>
        <v>1</v>
      </c>
    </row>
    <row r="29" spans="3:7">
      <c r="C29" t="s">
        <v>23</v>
      </c>
      <c r="D29" t="s">
        <v>22</v>
      </c>
      <c r="E29">
        <f t="shared" si="2"/>
        <v>1</v>
      </c>
    </row>
    <row r="32" spans="3:7">
      <c r="C32" s="2" t="s">
        <v>24</v>
      </c>
      <c r="D32" s="2"/>
      <c r="E32" s="2"/>
    </row>
    <row r="33" spans="3:6">
      <c r="C33" s="2"/>
      <c r="D33" s="2"/>
      <c r="E33" s="2"/>
    </row>
    <row r="35" spans="3:6">
      <c r="C35" s="1" t="s">
        <v>18</v>
      </c>
      <c r="D35" s="1" t="s">
        <v>4</v>
      </c>
      <c r="E35" s="1" t="s">
        <v>25</v>
      </c>
      <c r="F35" t="s">
        <v>26</v>
      </c>
    </row>
    <row r="36" spans="3:6">
      <c r="C36" t="s">
        <v>6</v>
      </c>
      <c r="D36" t="s">
        <v>7</v>
      </c>
      <c r="E36">
        <v>80</v>
      </c>
      <c r="F36">
        <f>AVERAGEIF(D35:D40,"CSE",E35:E40)</f>
        <v>85</v>
      </c>
    </row>
    <row r="37" spans="3:6">
      <c r="C37" t="s">
        <v>8</v>
      </c>
      <c r="D37" t="s">
        <v>9</v>
      </c>
      <c r="E37">
        <v>70</v>
      </c>
      <c r="F37">
        <f t="shared" ref="F37:F40" si="3">AVERAGEIF(D36:D41,"CSE",E36:E41)</f>
        <v>85</v>
      </c>
    </row>
    <row r="38" spans="3:6">
      <c r="C38" t="s">
        <v>10</v>
      </c>
      <c r="D38" t="s">
        <v>7</v>
      </c>
      <c r="E38">
        <v>90</v>
      </c>
      <c r="F38">
        <f t="shared" si="3"/>
        <v>87.5</v>
      </c>
    </row>
    <row r="39" spans="3:6">
      <c r="C39" t="s">
        <v>12</v>
      </c>
      <c r="D39" t="s">
        <v>9</v>
      </c>
      <c r="E39">
        <v>60</v>
      </c>
      <c r="F39">
        <f t="shared" si="3"/>
        <v>87.5</v>
      </c>
    </row>
    <row r="40" spans="3:6">
      <c r="C40" t="s">
        <v>23</v>
      </c>
      <c r="D40" t="s">
        <v>7</v>
      </c>
      <c r="E40">
        <v>85</v>
      </c>
      <c r="F40">
        <f t="shared" si="3"/>
        <v>85</v>
      </c>
    </row>
  </sheetData>
  <mergeCells count="5">
    <mergeCell ref="C1:H2"/>
    <mergeCell ref="C3:F3"/>
    <mergeCell ref="C11:F11"/>
    <mergeCell ref="C21:F22"/>
    <mergeCell ref="C32:E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 P</cp:lastModifiedBy>
  <cp:revision/>
  <dcterms:created xsi:type="dcterms:W3CDTF">2026-06-30T13:33:34Z</dcterms:created>
  <dcterms:modified xsi:type="dcterms:W3CDTF">2026-06-30T14:35:07Z</dcterms:modified>
  <cp:category/>
  <cp:contentStatus/>
</cp:coreProperties>
</file>